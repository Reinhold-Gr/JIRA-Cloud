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JIRA-Cloud\Migration_APPs\"/>
    </mc:Choice>
  </mc:AlternateContent>
  <xr:revisionPtr revIDLastSave="0" documentId="13_ncr:1_{F3F49922-808F-47E4-A827-7F0B6B164AE8}" xr6:coauthVersionLast="47" xr6:coauthVersionMax="47" xr10:uidLastSave="{00000000-0000-0000-0000-000000000000}"/>
  <bookViews>
    <workbookView xWindow="315" yWindow="555" windowWidth="27855" windowHeight="13950" xr2:uid="{3751D5A8-7D0B-4771-928F-FC339AA7D7DC}"/>
  </bookViews>
  <sheets>
    <sheet name="pdf_templates" sheetId="1" r:id="rId1"/>
  </sheets>
  <definedNames>
    <definedName name="_xlnm._FilterDatabase" localSheetId="0" hidden="1">pdf_templates!$A$1:$H$82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4" i="1" l="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2" i="1"/>
  <c r="E3" i="1"/>
  <c r="E4" i="1"/>
</calcChain>
</file>

<file path=xl/sharedStrings.xml><?xml version="1.0" encoding="utf-8"?>
<sst xmlns="http://schemas.openxmlformats.org/spreadsheetml/2006/main" count="313" uniqueCount="154">
  <si>
    <t>Name</t>
  </si>
  <si>
    <t>Description</t>
  </si>
  <si>
    <t>Updated</t>
  </si>
  <si>
    <t>Korrektur-Storno-fo.vm</t>
  </si>
  <si>
    <t>Kosten-mit-PKW-fo.vm</t>
  </si>
  <si>
    <t>V-nxt_abschlussbericht-fo.vm</t>
  </si>
  <si>
    <t>V3.0: Code bereinigt und Banner ohne "40 Jahre AS"</t>
  </si>
  <si>
    <t>V-nxt_acceptation-confirmation-fo.vm</t>
  </si>
  <si>
    <t>Auftragsbestätigung</t>
  </si>
  <si>
    <t>V-nxt_auftrag-common-elements-fo.vm</t>
  </si>
  <si>
    <t>V3.0: bereinigt und Banner ohne "40 Jahre AS"</t>
  </si>
  <si>
    <t>V-nxt_initial-confirmation-fo.vm</t>
  </si>
  <si>
    <t>Empfangsbestätigung des Auftrags</t>
  </si>
  <si>
    <t>V-nxt_rechnung-common-elements-fo.vm</t>
  </si>
  <si>
    <t>V-nxt_rechnung-in-issue-fo.vm</t>
  </si>
  <si>
    <t>Rechnungserstellung</t>
  </si>
  <si>
    <t>V-nxt_rechnung-storno-in-issue-with-current-rechnung-fo.vm</t>
  </si>
  <si>
    <t>Stornierung Rechnung</t>
  </si>
  <si>
    <t>V1_abschlussbericht-fo.vm</t>
  </si>
  <si>
    <t>V1_acceptation-confirmation-fo.vm</t>
  </si>
  <si>
    <t>V1_auftrag-common-elements-fo.vm</t>
  </si>
  <si>
    <t>V1_initial-confirmation-fo.vm</t>
  </si>
  <si>
    <t>V1_rechnung-common-elements-fo.vm</t>
  </si>
  <si>
    <t>V1_rechnung-in-issue-fo.vm</t>
  </si>
  <si>
    <t>V1_rechnung-storno-in-issue-with-current-rechnung-fo.vm</t>
  </si>
  <si>
    <t>V2-4_abschlussbericht-fo.vm</t>
  </si>
  <si>
    <t>Abschlussbericht V2.4 (40 Jahre AS)</t>
  </si>
  <si>
    <t>V2-4_acceptation-confirmation-fo.vm</t>
  </si>
  <si>
    <t>Auftragsbestätigung : V2.4 (40 Jahre AS)</t>
  </si>
  <si>
    <t>V2-4_auftrag-common-elements-fo.vm</t>
  </si>
  <si>
    <t>V2-4_nitial-confirmation-fo.vm</t>
  </si>
  <si>
    <t>Empfangsbestätigung für Auftrag : V2.4 (40 Jahre AS)</t>
  </si>
  <si>
    <t>V2-4_rechnung-common-elements-fo.vm</t>
  </si>
  <si>
    <t>rechnung-common-elements V2.4 (40 Jahre AS)</t>
  </si>
  <si>
    <t>V2-4_rechnung-in-issue-fo.vm</t>
  </si>
  <si>
    <t>Rechnungserstellung: V2.4 (40 Jahre AS)</t>
  </si>
  <si>
    <t>V2-4_rechnung-storno-in-issue-with-current-rechnung-fo.vm</t>
  </si>
  <si>
    <t>Stornierung Rechnung: V2.4 (40 Jahre AS)</t>
  </si>
  <si>
    <t>V2.1-rechnung-in-issue-fo.vm</t>
  </si>
  <si>
    <t>V2.1-rechnung-storno-in-issue-with-current-rechnung-fo.vm</t>
  </si>
  <si>
    <t>V2_initial-confirmation-fo.vm</t>
  </si>
  <si>
    <t>Empfangsbestätigung für Auftrag</t>
  </si>
  <si>
    <t>abschlussbericht-fo.vm</t>
  </si>
  <si>
    <t>Abschlussbericht V2.4 (ohne 40 Jahre AS)</t>
  </si>
  <si>
    <t>acceptation-confirmation-fo.vm</t>
  </si>
  <si>
    <t>Auftragsbestätigung : V2.4</t>
  </si>
  <si>
    <t>articles-tool.groovy</t>
  </si>
  <si>
    <t>Wird zur Formatierung der Preise benötigt.</t>
  </si>
  <si>
    <t>auftrag-common-elements-fo.vm</t>
  </si>
  <si>
    <t>Restart</t>
  </si>
  <si>
    <t>final-confirmation-fo.vm</t>
  </si>
  <si>
    <t>fop-config.xml</t>
  </si>
  <si>
    <t>Low-level configuration file for FOP, the PDF renderer technology used by the plugin. See this page for details.</t>
  </si>
  <si>
    <t>gliffy-tool.groovy</t>
  </si>
  <si>
    <t>Gliffy tool used by the templates that connect to Gliffy to download diagram images.</t>
  </si>
  <si>
    <t>initial-confirmation-fo.vm</t>
  </si>
  <si>
    <t>Empfangsbestätigung für Auftrag : V2.4 (Beratungsfälle; Adressanpassung)</t>
  </si>
  <si>
    <t>insight-tool.groovy</t>
  </si>
  <si>
    <t>Insight tool used by the templates that connect to Insight to download object (asset) data.</t>
  </si>
  <si>
    <t>issue-fo.vm</t>
  </si>
  <si>
    <t>issue-navigator-fo.vm</t>
  </si>
  <si>
    <t>issue-navigator-tool.groovy</t>
  </si>
  <si>
    <t>Used by issue-navigator-fo.vm.</t>
  </si>
  <si>
    <t>nfeed-tool.groovy</t>
  </si>
  <si>
    <t>nFeed tool used by the templates that connect to nFeed to access data from external/internal sources.</t>
  </si>
  <si>
    <t>rechnung-common-elements-fo.vm</t>
  </si>
  <si>
    <t>rechnung-common-elements V2.4</t>
  </si>
  <si>
    <t>rechnung-fo.vm</t>
  </si>
  <si>
    <t>rechnung-in-issue-fo.vm</t>
  </si>
  <si>
    <t>Rechnungserstellung: V2.5</t>
  </si>
  <si>
    <t>rechnung-storno-in-issue-with-current-rechnung-fo.vm</t>
  </si>
  <si>
    <t>Stornierung Rechnung: V2.4</t>
  </si>
  <si>
    <t>reference-manual-fo.vm</t>
  </si>
  <si>
    <t>release-notes-fo.vm</t>
  </si>
  <si>
    <t>requirements-specification-fo.vm</t>
  </si>
  <si>
    <t>requirements-specification.groovy</t>
  </si>
  <si>
    <t>Used by requirements-specification-fo.vm.</t>
  </si>
  <si>
    <t>sales-report-fo.vm</t>
  </si>
  <si>
    <t>sales-report.groovy</t>
  </si>
  <si>
    <t>Used by sales-report-fo.vm.</t>
  </si>
  <si>
    <t>service-desk-tool.groovy</t>
  </si>
  <si>
    <t>JIRA Service Desk tool used by the templates that connect to JIRA Service Desk to download ticket data.</t>
  </si>
  <si>
    <t>storno-korrektur-mit-manueller-rechnungsnummer-fo.vm</t>
  </si>
  <si>
    <t>story-card-fo.vm</t>
  </si>
  <si>
    <t>tempo-tool.groovy</t>
  </si>
  <si>
    <t>Tempo tool used by the templates that connect to Tempo to download worklog data.</t>
  </si>
  <si>
    <t>timesheet-fo.vm</t>
  </si>
  <si>
    <t>traceability-matrix-fo.vm</t>
  </si>
  <si>
    <t>Renders a 2D matrix with two sets of issues, and uses the cells to visualize relations (ex: directed dependencies) between the issues. Traceability matrixes are used to match parts of high-level design, detailed design, test plan, and test cases in Requirements Management and Test Management. It uses traceability-matrix.groovy.</t>
  </si>
  <si>
    <t>traceability-matrix.groovy</t>
  </si>
  <si>
    <t>Used by traceability-matrix-fo.vm.</t>
  </si>
  <si>
    <t>x-abschlussbericht-OLD-fo.vm</t>
  </si>
  <si>
    <t>x-acceptation-confirmation-OLD-fo.vm</t>
  </si>
  <si>
    <t>x-acceptation-confirmation-fo_OLD.vm</t>
  </si>
  <si>
    <t>x-burn-down-chart-fo.vm</t>
  </si>
  <si>
    <t>Agile report template that dispays the Burn Down Chart, the Velocity Trend Chart, ideal-, actual- and required performance for a sprint. It can be used with or without JIRA Agile (previously known as GreenHopper). It uses burn-down-chart.groovy.</t>
  </si>
  <si>
    <t>x-burn-down-chart.groovy</t>
  </si>
  <si>
    <t>Used by burn-down-chart-fo.vm.</t>
  </si>
  <si>
    <t>x-charts.groovy</t>
  </si>
  <si>
    <t>Charting tool used by the templates that render charts to visualize data.</t>
  </si>
  <si>
    <t>x-dashboard-details-fo.vm</t>
  </si>
  <si>
    <t>Template to export the ID and other details of a dashboard and its gadgets, for PDF template development purposes.</t>
  </si>
  <si>
    <t>x-dashboard-fo.vm</t>
  </si>
  <si>
    <t>Template to export JIRA dashboards and gadgets to PDF. Read the dashboards tutorial.</t>
  </si>
  <si>
    <t>x-dispatch-fo.vm</t>
  </si>
  <si>
    <t>x-gantt-chart-fo.vm</t>
  </si>
  <si>
    <t>x-gantt-chart.groovy</t>
  </si>
  <si>
    <t>Used by gantt-chart-fo.vm.</t>
  </si>
  <si>
    <t>x-hello-charts-fo.vm</t>
  </si>
  <si>
    <t>x-hello-charts.groovy</t>
  </si>
  <si>
    <t>Used by hello-charts-fo.vm.</t>
  </si>
  <si>
    <t>x-hello-world-fo.vm</t>
  </si>
  <si>
    <t>Template to demonstrate the basics of scripting for templates. Read the scripting tutorial. It uses hello-world.groovy.</t>
  </si>
  <si>
    <t>x-hello-world.groovy</t>
  </si>
  <si>
    <t>Used by hello-world-fo.vm.</t>
  </si>
  <si>
    <t>x-initial-confirmation-OLD-01-fo.vm</t>
  </si>
  <si>
    <t>x-initial-confirmation-OLD-02-fo.vm</t>
  </si>
  <si>
    <t>x-project-report-fo.vm</t>
  </si>
  <si>
    <t>x-project-report.groovy</t>
  </si>
  <si>
    <t>Used by project-report-fo.vm.</t>
  </si>
  <si>
    <t>x-rechnung-in-issue-OLD-fo.vm</t>
  </si>
  <si>
    <t>This is the pdf what will be generated in project Rechnung</t>
  </si>
  <si>
    <t>x-rechnung-storno-fo.vm</t>
  </si>
  <si>
    <t>x-rechnung-storno-in-issue-with-current-rechnung-OLD-fo.vm</t>
  </si>
  <si>
    <t>x-rechnung-storno-in-issue-with-link-fo.vm</t>
  </si>
  <si>
    <t>This is the pdf for the Storno that will be generated in project Rechnung</t>
  </si>
  <si>
    <t>x-rechnung-storno-with-link-fo.vm</t>
  </si>
  <si>
    <t>zephyr-tool.groovy</t>
  </si>
  <si>
    <t>Zephyr tool used by the templates that connect to Zephyr to download test data.</t>
  </si>
  <si>
    <t>Delete</t>
  </si>
  <si>
    <t>Ja</t>
  </si>
  <si>
    <t>Typ</t>
  </si>
  <si>
    <t>Exports the issues into a PDF that visually reminds of JIRA's default styling. 
It includes all field values, time tracking, issue links, attachments, image thumbnails, comments, worklogs and change history. It also enables embedding the issue attachments within the PDF document, to distribute your issues together with their file attachments, as a single self-containing package. Or, use this as a great starting point for customization (like hiding fields) or for developing totally new templates.</t>
  </si>
  <si>
    <t>auftrag-common-elements V2.4 Here we define the common elements in all the PDFs generated by an Auftrag (Footer, logo, linked issues....)
 to just include this file in each template</t>
  </si>
  <si>
    <t>Landscape-oriented issue list template. It uses the filter's own column layout: when you show, 
hide or move columns around in JIRA, those will appear, disappear or move also in your PDFs. Check the template code if you need dynamically configurable fields in your exports.</t>
  </si>
  <si>
    <t>Wird möglicherweise noch verwendet. Expressions Reference Manual is the complete reference of the expressions to be used in the PDF templates.
 Use this both as a cheatsheet (just copy the references to your template!) and as a live test environment (modify and export this template).</t>
  </si>
  <si>
    <t>Release Notes document template, with customizable content and branding. 
Advantages over the default Release Notes generated by JIRA: 
you can precisely specify what fields to include, you can include additional content like installation instructions and pricing information, you can use company branding (logos, colors), etc. This is an easy and powerful way to get your complete software version documentation out of JIRA.</t>
  </si>
  <si>
    <t>Nein</t>
  </si>
  <si>
    <t>in Verwendung</t>
  </si>
  <si>
    <t>?</t>
  </si>
  <si>
    <t>v.a.</t>
  </si>
  <si>
    <t>Template to demonstrate the basics of chart rendering (line, pie and bar charts) in PDF templates. Read the charting tutorial.
 It uses hello-charts.groovy and charts.groovy.</t>
  </si>
  <si>
    <t>Typical sample for a so-called dispatcher template. A dispatcher can delegate to multiple concrete templates, 
based on a condition. This sample shows selecting a final template based on project key. Look at this for intelligent template selections by projects, issue types, field values or such. Read this section for details.</t>
  </si>
  <si>
    <t>Visualizes project schedules by displaying issues as horizontal bars, along with their start and end-dates. 
Gantt charts are efficient data representation tools in practical project management. It uses gantt-chart.groovy.</t>
  </si>
  <si>
    <t>Project report document template to display completed, planned, overdue, overbudget and risk issues, completion rate, 
and some other Key Performance Metrics and status flags. It uses project-report.groovy.</t>
  </si>
  <si>
    <t>Template to export JIRA issues into SRS documents (Software Requirement Specification), based on IEEE standard 830-1998. 
Enables fast external validation of a set of requirements, easy distribution of requirement baselines, or generating your final SRS documents. Even if it may not fully meet the needs of your SRS style, it's a great starting point for customization. (It features a book-like Table of Contents and PDF bookmarks, too.) It uses requirements-specification.groovy.</t>
  </si>
  <si>
    <t>General report template that also exports custom charts generated from JIRA data to PDF documents. 
Although the default reporting domain is sales data, it can be totally reconfigured to calculate and display any type of Performance Metrics. It uses sales-report.groovy and charts.groovy.</t>
  </si>
  <si>
    <t>Template to export physical story cards from JIRA issues, for Scrum and Kanban teams. 
It can be used with or without JIRA Agile (previously known as GreenHopper).</t>
  </si>
  <si>
    <t>Exports timesheets and time-based invoices from JIRA or Tempo worklogs. It calculates time and amount (money) subtotals 
and grand totals for the whole issue list. It can optionally filter non-billable worklogs, and get customer information from Tempo. If you run time and material based projects, turn JIRA into a powerful invoicing system with this template.</t>
  </si>
  <si>
    <t>Zähle</t>
  </si>
  <si>
    <t>x</t>
  </si>
  <si>
    <t>Gesichert löschbar</t>
  </si>
  <si>
    <t>Alle PDF-Templates</t>
  </si>
  <si>
    <t>vermutlich 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</si>
</sst>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vertical="center"/>
    </xf>
    <xf numFmtId="22" fontId="0" fillId="0" borderId="0" xfId="0" applyNumberFormat="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top"/>
    </xf>
    <xf numFmtId="0" fontId="0" fillId="0" borderId="0" xfId="0" applyAlignment="1">
      <alignment vertical="top"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BC9A-7251-4F62-9A7B-9707E3E63848}">
  <sheetPr filterMode="1"/>
  <dimension ref="A1:H88"/>
  <sheetViews>
    <sheetView tabSelected="1" zoomScale="175" zoomScaleNormal="175" workbookViewId="0">
      <selection activeCell="B84" sqref="B84"/>
    </sheetView>
  </sheetViews>
  <sheetFormatPr baseColWidth="10" defaultRowHeight="15" x14ac:dyDescent="0.25"/>
  <cols>
    <col min="1" max="1" width="54.7109375" style="2" customWidth="1"/>
    <col min="2" max="2" width="52.28515625" style="6" customWidth="1"/>
    <col min="3" max="3" width="17.7109375" style="2" customWidth="1"/>
    <col min="4" max="4" width="8.7109375" style="4" bestFit="1" customWidth="1"/>
    <col min="5" max="5" width="4" style="2" bestFit="1" customWidth="1"/>
    <col min="6" max="6" width="12.7109375" style="4" customWidth="1"/>
    <col min="7" max="7" width="10.42578125" style="4" bestFit="1" customWidth="1"/>
  </cols>
  <sheetData>
    <row r="1" spans="1:8" ht="30" x14ac:dyDescent="0.25">
      <c r="A1" s="2" t="s">
        <v>0</v>
      </c>
      <c r="B1" s="6" t="s">
        <v>1</v>
      </c>
      <c r="C1" s="4" t="s">
        <v>2</v>
      </c>
      <c r="D1" s="4" t="s">
        <v>129</v>
      </c>
      <c r="E1" s="2" t="s">
        <v>131</v>
      </c>
      <c r="F1" s="5" t="s">
        <v>138</v>
      </c>
      <c r="G1" s="4" t="s">
        <v>149</v>
      </c>
      <c r="H1" t="s">
        <v>150</v>
      </c>
    </row>
    <row r="2" spans="1:8" hidden="1" x14ac:dyDescent="0.25">
      <c r="A2" s="2" t="s">
        <v>3</v>
      </c>
      <c r="B2"/>
      <c r="C2" s="3">
        <v>44104.844444444447</v>
      </c>
      <c r="D2" s="4" t="s">
        <v>137</v>
      </c>
      <c r="E2" s="2" t="str">
        <f t="shared" ref="E2:E65" si="0">RIGHT(A2,2)</f>
        <v>vm</v>
      </c>
      <c r="F2" s="4" t="s">
        <v>139</v>
      </c>
      <c r="G2" s="4">
        <v>1</v>
      </c>
    </row>
    <row r="3" spans="1:8" hidden="1" x14ac:dyDescent="0.25">
      <c r="A3" s="2" t="s">
        <v>4</v>
      </c>
      <c r="B3"/>
      <c r="C3" s="3">
        <v>44078.540277777778</v>
      </c>
      <c r="D3" s="4" t="s">
        <v>137</v>
      </c>
      <c r="E3" s="2" t="str">
        <f t="shared" si="0"/>
        <v>vm</v>
      </c>
      <c r="F3" s="4" t="s">
        <v>139</v>
      </c>
      <c r="G3" s="4">
        <v>1</v>
      </c>
    </row>
    <row r="4" spans="1:8" hidden="1" x14ac:dyDescent="0.25">
      <c r="A4" s="2" t="s">
        <v>5</v>
      </c>
      <c r="B4" s="6" t="s">
        <v>6</v>
      </c>
      <c r="C4" s="3">
        <v>45702.81527777778</v>
      </c>
      <c r="D4" s="4" t="s">
        <v>130</v>
      </c>
      <c r="E4" s="2" t="str">
        <f>RIGHT(A4,2)</f>
        <v>vm</v>
      </c>
      <c r="F4" s="4" t="s">
        <v>137</v>
      </c>
      <c r="G4" s="4">
        <v>1</v>
      </c>
    </row>
    <row r="5" spans="1:8" hidden="1" x14ac:dyDescent="0.25">
      <c r="A5" s="2" t="s">
        <v>7</v>
      </c>
      <c r="B5" s="6" t="s">
        <v>8</v>
      </c>
      <c r="C5" s="3">
        <v>45702.822916666664</v>
      </c>
      <c r="D5" s="4" t="s">
        <v>130</v>
      </c>
      <c r="E5" s="2" t="str">
        <f t="shared" si="0"/>
        <v>vm</v>
      </c>
      <c r="F5" s="4" t="s">
        <v>137</v>
      </c>
      <c r="G5" s="4">
        <v>1</v>
      </c>
    </row>
    <row r="6" spans="1:8" hidden="1" x14ac:dyDescent="0.25">
      <c r="A6" s="2" t="s">
        <v>9</v>
      </c>
      <c r="B6" s="6" t="s">
        <v>10</v>
      </c>
      <c r="C6" s="3">
        <v>45713.541666666664</v>
      </c>
      <c r="D6" s="4" t="s">
        <v>130</v>
      </c>
      <c r="E6" s="2" t="str">
        <f t="shared" si="0"/>
        <v>vm</v>
      </c>
      <c r="F6" s="4" t="s">
        <v>137</v>
      </c>
      <c r="G6" s="4">
        <v>1</v>
      </c>
    </row>
    <row r="7" spans="1:8" hidden="1" x14ac:dyDescent="0.25">
      <c r="A7" s="2" t="s">
        <v>11</v>
      </c>
      <c r="B7" s="6" t="s">
        <v>12</v>
      </c>
      <c r="C7" s="3">
        <v>45702.824305555558</v>
      </c>
      <c r="D7" s="4" t="s">
        <v>130</v>
      </c>
      <c r="E7" s="2" t="str">
        <f t="shared" si="0"/>
        <v>vm</v>
      </c>
      <c r="F7" s="4" t="s">
        <v>137</v>
      </c>
      <c r="G7" s="4">
        <v>1</v>
      </c>
    </row>
    <row r="8" spans="1:8" hidden="1" x14ac:dyDescent="0.25">
      <c r="A8" s="2" t="s">
        <v>13</v>
      </c>
      <c r="B8" s="6" t="s">
        <v>10</v>
      </c>
      <c r="C8" s="3">
        <v>45702.819444444445</v>
      </c>
      <c r="D8" s="4" t="s">
        <v>130</v>
      </c>
      <c r="E8" s="2" t="str">
        <f t="shared" si="0"/>
        <v>vm</v>
      </c>
      <c r="F8" s="4" t="s">
        <v>137</v>
      </c>
      <c r="G8" s="4">
        <v>1</v>
      </c>
    </row>
    <row r="9" spans="1:8" hidden="1" x14ac:dyDescent="0.25">
      <c r="A9" s="2" t="s">
        <v>14</v>
      </c>
      <c r="B9" s="6" t="s">
        <v>15</v>
      </c>
      <c r="C9" s="3">
        <v>45702.824999999997</v>
      </c>
      <c r="D9" s="4" t="s">
        <v>130</v>
      </c>
      <c r="E9" s="2" t="str">
        <f t="shared" si="0"/>
        <v>vm</v>
      </c>
      <c r="F9" s="4" t="s">
        <v>137</v>
      </c>
      <c r="G9" s="4">
        <v>1</v>
      </c>
    </row>
    <row r="10" spans="1:8" hidden="1" x14ac:dyDescent="0.25">
      <c r="A10" s="2" t="s">
        <v>16</v>
      </c>
      <c r="B10" s="6" t="s">
        <v>17</v>
      </c>
      <c r="C10" s="3">
        <v>45702.826388888891</v>
      </c>
      <c r="D10" s="4" t="s">
        <v>130</v>
      </c>
      <c r="E10" s="2" t="str">
        <f t="shared" si="0"/>
        <v>vm</v>
      </c>
      <c r="F10" s="4" t="s">
        <v>137</v>
      </c>
      <c r="G10" s="4">
        <v>1</v>
      </c>
    </row>
    <row r="11" spans="1:8" hidden="1" x14ac:dyDescent="0.25">
      <c r="A11" s="2" t="s">
        <v>18</v>
      </c>
      <c r="C11" s="3">
        <v>44582.563888888886</v>
      </c>
      <c r="D11" s="4" t="s">
        <v>130</v>
      </c>
      <c r="E11" s="2" t="str">
        <f t="shared" si="0"/>
        <v>vm</v>
      </c>
      <c r="F11" s="4" t="s">
        <v>137</v>
      </c>
      <c r="G11" s="4">
        <v>1</v>
      </c>
    </row>
    <row r="12" spans="1:8" hidden="1" x14ac:dyDescent="0.25">
      <c r="A12" s="2" t="s">
        <v>19</v>
      </c>
      <c r="C12" s="3">
        <v>44582.561111111114</v>
      </c>
      <c r="D12" s="4" t="s">
        <v>130</v>
      </c>
      <c r="E12" s="2" t="str">
        <f t="shared" si="0"/>
        <v>vm</v>
      </c>
      <c r="F12" s="4" t="s">
        <v>137</v>
      </c>
      <c r="G12" s="4">
        <v>1</v>
      </c>
    </row>
    <row r="13" spans="1:8" hidden="1" x14ac:dyDescent="0.25">
      <c r="A13" s="2" t="s">
        <v>20</v>
      </c>
      <c r="C13" s="3">
        <v>44582.559027777781</v>
      </c>
      <c r="D13" s="4" t="s">
        <v>130</v>
      </c>
      <c r="E13" s="2" t="str">
        <f t="shared" si="0"/>
        <v>vm</v>
      </c>
      <c r="F13" s="4" t="s">
        <v>137</v>
      </c>
      <c r="G13" s="4">
        <v>1</v>
      </c>
    </row>
    <row r="14" spans="1:8" hidden="1" x14ac:dyDescent="0.25">
      <c r="A14" s="2" t="s">
        <v>21</v>
      </c>
      <c r="C14" s="3">
        <v>44582.56527777778</v>
      </c>
      <c r="D14" s="4" t="s">
        <v>130</v>
      </c>
      <c r="E14" s="2" t="str">
        <f t="shared" si="0"/>
        <v>vm</v>
      </c>
      <c r="F14" s="4" t="s">
        <v>137</v>
      </c>
      <c r="G14" s="4">
        <v>1</v>
      </c>
    </row>
    <row r="15" spans="1:8" hidden="1" x14ac:dyDescent="0.25">
      <c r="A15" s="2" t="s">
        <v>22</v>
      </c>
      <c r="C15" s="3">
        <v>44582.566666666666</v>
      </c>
      <c r="D15" s="4" t="s">
        <v>130</v>
      </c>
      <c r="E15" s="2" t="str">
        <f t="shared" si="0"/>
        <v>vm</v>
      </c>
      <c r="F15" s="4" t="s">
        <v>137</v>
      </c>
      <c r="G15" s="4">
        <v>1</v>
      </c>
    </row>
    <row r="16" spans="1:8" hidden="1" x14ac:dyDescent="0.25">
      <c r="A16" s="2" t="s">
        <v>23</v>
      </c>
      <c r="C16" s="3">
        <v>44582.567361111112</v>
      </c>
      <c r="D16" s="4" t="s">
        <v>130</v>
      </c>
      <c r="E16" s="2" t="str">
        <f t="shared" si="0"/>
        <v>vm</v>
      </c>
      <c r="F16" s="4" t="s">
        <v>137</v>
      </c>
      <c r="G16" s="4">
        <v>1</v>
      </c>
    </row>
    <row r="17" spans="1:7" hidden="1" x14ac:dyDescent="0.25">
      <c r="A17" s="2" t="s">
        <v>24</v>
      </c>
      <c r="C17" s="3">
        <v>44582.568749999999</v>
      </c>
      <c r="D17" s="4" t="s">
        <v>130</v>
      </c>
      <c r="E17" s="2" t="str">
        <f t="shared" si="0"/>
        <v>vm</v>
      </c>
      <c r="F17" s="4" t="s">
        <v>137</v>
      </c>
      <c r="G17" s="4">
        <v>1</v>
      </c>
    </row>
    <row r="18" spans="1:7" hidden="1" x14ac:dyDescent="0.25">
      <c r="A18" s="2" t="s">
        <v>25</v>
      </c>
      <c r="B18" s="6" t="s">
        <v>26</v>
      </c>
      <c r="C18" s="3">
        <v>45702.506249999999</v>
      </c>
      <c r="D18" s="4" t="s">
        <v>130</v>
      </c>
      <c r="E18" s="2" t="str">
        <f t="shared" si="0"/>
        <v>vm</v>
      </c>
      <c r="F18" s="4" t="s">
        <v>137</v>
      </c>
      <c r="G18" s="4">
        <v>1</v>
      </c>
    </row>
    <row r="19" spans="1:7" hidden="1" x14ac:dyDescent="0.25">
      <c r="A19" s="2" t="s">
        <v>27</v>
      </c>
      <c r="B19" s="6" t="s">
        <v>28</v>
      </c>
      <c r="C19" s="3">
        <v>45702.755555555559</v>
      </c>
      <c r="D19" s="4" t="s">
        <v>130</v>
      </c>
      <c r="E19" s="2" t="str">
        <f t="shared" si="0"/>
        <v>vm</v>
      </c>
      <c r="F19" s="4" t="s">
        <v>137</v>
      </c>
      <c r="G19" s="4">
        <v>1</v>
      </c>
    </row>
    <row r="20" spans="1:7" ht="45" hidden="1" x14ac:dyDescent="0.25">
      <c r="A20" s="2" t="s">
        <v>29</v>
      </c>
      <c r="B20" s="7" t="s">
        <v>133</v>
      </c>
      <c r="C20" s="3">
        <v>45691.742361111108</v>
      </c>
      <c r="D20" s="4" t="s">
        <v>130</v>
      </c>
      <c r="E20" s="2" t="str">
        <f t="shared" si="0"/>
        <v>vm</v>
      </c>
      <c r="F20" s="4" t="s">
        <v>137</v>
      </c>
      <c r="G20" s="4">
        <v>1</v>
      </c>
    </row>
    <row r="21" spans="1:7" hidden="1" x14ac:dyDescent="0.25">
      <c r="A21" s="2" t="s">
        <v>30</v>
      </c>
      <c r="B21" s="6" t="s">
        <v>31</v>
      </c>
      <c r="C21" s="3">
        <v>45702.759027777778</v>
      </c>
      <c r="D21" s="4" t="s">
        <v>130</v>
      </c>
      <c r="E21" s="2" t="str">
        <f t="shared" si="0"/>
        <v>vm</v>
      </c>
      <c r="F21" s="4" t="s">
        <v>137</v>
      </c>
      <c r="G21" s="4">
        <v>1</v>
      </c>
    </row>
    <row r="22" spans="1:7" hidden="1" x14ac:dyDescent="0.25">
      <c r="A22" s="2" t="s">
        <v>32</v>
      </c>
      <c r="B22" s="6" t="s">
        <v>33</v>
      </c>
      <c r="C22" s="3">
        <v>45702.760416666664</v>
      </c>
      <c r="D22" s="4" t="s">
        <v>130</v>
      </c>
      <c r="E22" s="2" t="str">
        <f t="shared" si="0"/>
        <v>vm</v>
      </c>
      <c r="F22" s="4" t="s">
        <v>137</v>
      </c>
      <c r="G22" s="4">
        <v>1</v>
      </c>
    </row>
    <row r="23" spans="1:7" hidden="1" x14ac:dyDescent="0.25">
      <c r="A23" s="2" t="s">
        <v>34</v>
      </c>
      <c r="B23" s="6" t="s">
        <v>35</v>
      </c>
      <c r="C23" s="3">
        <v>45702.763194444444</v>
      </c>
      <c r="D23" s="4" t="s">
        <v>130</v>
      </c>
      <c r="E23" s="2" t="str">
        <f t="shared" si="0"/>
        <v>vm</v>
      </c>
      <c r="F23" s="4" t="s">
        <v>137</v>
      </c>
      <c r="G23" s="4">
        <v>1</v>
      </c>
    </row>
    <row r="24" spans="1:7" hidden="1" x14ac:dyDescent="0.25">
      <c r="A24" s="2" t="s">
        <v>36</v>
      </c>
      <c r="B24" s="6" t="s">
        <v>37</v>
      </c>
      <c r="C24" s="3">
        <v>45702.763888888891</v>
      </c>
      <c r="D24" s="4" t="s">
        <v>130</v>
      </c>
      <c r="E24" s="2" t="str">
        <f t="shared" si="0"/>
        <v>vm</v>
      </c>
      <c r="F24" s="4" t="s">
        <v>137</v>
      </c>
      <c r="G24" s="4">
        <v>1</v>
      </c>
    </row>
    <row r="25" spans="1:7" hidden="1" x14ac:dyDescent="0.25">
      <c r="A25" s="2" t="s">
        <v>38</v>
      </c>
      <c r="C25" s="3">
        <v>44956.656944444447</v>
      </c>
      <c r="D25" s="4" t="s">
        <v>130</v>
      </c>
      <c r="E25" s="2" t="str">
        <f t="shared" si="0"/>
        <v>vm</v>
      </c>
      <c r="F25" s="4" t="s">
        <v>137</v>
      </c>
      <c r="G25" s="4">
        <v>1</v>
      </c>
    </row>
    <row r="26" spans="1:7" hidden="1" x14ac:dyDescent="0.25">
      <c r="A26" s="2" t="s">
        <v>39</v>
      </c>
      <c r="C26" s="3">
        <v>44956.65</v>
      </c>
      <c r="D26" s="4" t="s">
        <v>130</v>
      </c>
      <c r="E26" s="2" t="str">
        <f t="shared" si="0"/>
        <v>vm</v>
      </c>
      <c r="F26" s="4" t="s">
        <v>137</v>
      </c>
      <c r="G26" s="4">
        <v>1</v>
      </c>
    </row>
    <row r="27" spans="1:7" hidden="1" x14ac:dyDescent="0.25">
      <c r="A27" s="2" t="s">
        <v>40</v>
      </c>
      <c r="B27" s="6" t="s">
        <v>41</v>
      </c>
      <c r="C27" s="3">
        <v>44820.51666666667</v>
      </c>
      <c r="D27" s="4" t="s">
        <v>130</v>
      </c>
      <c r="E27" s="2" t="str">
        <f t="shared" si="0"/>
        <v>vm</v>
      </c>
      <c r="F27" s="4" t="s">
        <v>137</v>
      </c>
      <c r="G27" s="4">
        <v>1</v>
      </c>
    </row>
    <row r="28" spans="1:7" x14ac:dyDescent="0.25">
      <c r="A28" s="2" t="s">
        <v>42</v>
      </c>
      <c r="B28" t="s">
        <v>43</v>
      </c>
      <c r="C28" s="3">
        <v>46136.830555555556</v>
      </c>
      <c r="D28" s="4" t="s">
        <v>137</v>
      </c>
      <c r="E28" s="2" t="str">
        <f t="shared" si="0"/>
        <v>vm</v>
      </c>
      <c r="F28" s="4" t="s">
        <v>130</v>
      </c>
      <c r="G28" s="4">
        <v>1</v>
      </c>
    </row>
    <row r="29" spans="1:7" x14ac:dyDescent="0.25">
      <c r="A29" s="2" t="s">
        <v>44</v>
      </c>
      <c r="B29" t="s">
        <v>45</v>
      </c>
      <c r="C29" s="3">
        <v>46144.839583333334</v>
      </c>
      <c r="D29" s="4" t="s">
        <v>137</v>
      </c>
      <c r="E29" s="2" t="str">
        <f t="shared" si="0"/>
        <v>vm</v>
      </c>
      <c r="F29" s="4" t="s">
        <v>130</v>
      </c>
      <c r="G29" s="4">
        <v>1</v>
      </c>
    </row>
    <row r="30" spans="1:7" x14ac:dyDescent="0.25">
      <c r="A30" s="2" t="s">
        <v>46</v>
      </c>
      <c r="B30" t="s">
        <v>47</v>
      </c>
      <c r="C30" s="3">
        <v>46187.62777777778</v>
      </c>
      <c r="D30" s="4" t="s">
        <v>137</v>
      </c>
      <c r="E30" s="2" t="str">
        <f t="shared" si="0"/>
        <v>vy</v>
      </c>
      <c r="F30" s="4" t="s">
        <v>130</v>
      </c>
      <c r="G30" s="4">
        <v>1</v>
      </c>
    </row>
    <row r="31" spans="1:7" x14ac:dyDescent="0.25">
      <c r="A31" s="2" t="s">
        <v>48</v>
      </c>
      <c r="B31" t="s">
        <v>49</v>
      </c>
      <c r="C31" s="3">
        <v>46144.839583333334</v>
      </c>
      <c r="D31" s="4" t="s">
        <v>137</v>
      </c>
      <c r="E31" s="2" t="str">
        <f t="shared" si="0"/>
        <v>vm</v>
      </c>
      <c r="F31" s="4" t="s">
        <v>130</v>
      </c>
      <c r="G31" s="4">
        <v>1</v>
      </c>
    </row>
    <row r="32" spans="1:7" hidden="1" x14ac:dyDescent="0.25">
      <c r="A32" s="2" t="s">
        <v>50</v>
      </c>
      <c r="C32" s="3">
        <v>43762.479166666664</v>
      </c>
      <c r="D32" s="4" t="s">
        <v>137</v>
      </c>
      <c r="E32" s="2" t="str">
        <f t="shared" si="0"/>
        <v>vm</v>
      </c>
      <c r="F32" s="4" t="s">
        <v>137</v>
      </c>
      <c r="G32" s="4">
        <v>1</v>
      </c>
    </row>
    <row r="33" spans="1:7" hidden="1" x14ac:dyDescent="0.25">
      <c r="A33" s="2" t="s">
        <v>51</v>
      </c>
      <c r="B33" t="s">
        <v>52</v>
      </c>
      <c r="C33" s="3">
        <v>43919.37222222222</v>
      </c>
      <c r="D33" s="4" t="s">
        <v>137</v>
      </c>
      <c r="E33" s="2" t="str">
        <f t="shared" si="0"/>
        <v>ml</v>
      </c>
      <c r="F33" s="4" t="s">
        <v>139</v>
      </c>
      <c r="G33" s="4">
        <v>1</v>
      </c>
    </row>
    <row r="34" spans="1:7" hidden="1" x14ac:dyDescent="0.25">
      <c r="A34" s="2" t="s">
        <v>53</v>
      </c>
      <c r="B34" t="s">
        <v>54</v>
      </c>
      <c r="C34" s="3">
        <v>43919.372916666667</v>
      </c>
      <c r="D34" s="4" t="s">
        <v>137</v>
      </c>
      <c r="E34" s="2" t="str">
        <f t="shared" si="0"/>
        <v>vy</v>
      </c>
      <c r="F34" s="4" t="s">
        <v>139</v>
      </c>
      <c r="G34" s="4">
        <v>1</v>
      </c>
    </row>
    <row r="35" spans="1:7" x14ac:dyDescent="0.25">
      <c r="A35" s="2" t="s">
        <v>55</v>
      </c>
      <c r="B35" t="s">
        <v>56</v>
      </c>
      <c r="C35" s="3">
        <v>46126.749305555553</v>
      </c>
      <c r="D35" s="4" t="s">
        <v>137</v>
      </c>
      <c r="E35" s="2" t="str">
        <f t="shared" si="0"/>
        <v>vm</v>
      </c>
      <c r="F35" s="4" t="s">
        <v>130</v>
      </c>
      <c r="G35" s="4">
        <v>1</v>
      </c>
    </row>
    <row r="36" spans="1:7" hidden="1" x14ac:dyDescent="0.25">
      <c r="A36" s="2" t="s">
        <v>57</v>
      </c>
      <c r="B36" t="s">
        <v>58</v>
      </c>
      <c r="C36" s="3">
        <v>43919.37222222222</v>
      </c>
      <c r="D36" s="4" t="s">
        <v>137</v>
      </c>
      <c r="E36" s="2" t="str">
        <f t="shared" si="0"/>
        <v>vy</v>
      </c>
      <c r="F36" s="4" t="s">
        <v>139</v>
      </c>
      <c r="G36" s="4">
        <v>1</v>
      </c>
    </row>
    <row r="37" spans="1:7" ht="75" hidden="1" x14ac:dyDescent="0.25">
      <c r="A37" s="2" t="s">
        <v>59</v>
      </c>
      <c r="B37" s="1" t="s">
        <v>132</v>
      </c>
      <c r="C37" s="3">
        <v>43406.675000000003</v>
      </c>
      <c r="D37" s="4" t="s">
        <v>137</v>
      </c>
      <c r="E37" s="2" t="str">
        <f t="shared" si="0"/>
        <v>vm</v>
      </c>
      <c r="F37" s="4" t="s">
        <v>139</v>
      </c>
      <c r="G37" s="4">
        <v>1</v>
      </c>
    </row>
    <row r="38" spans="1:7" ht="45" hidden="1" x14ac:dyDescent="0.25">
      <c r="A38" s="2" t="s">
        <v>60</v>
      </c>
      <c r="B38" s="1" t="s">
        <v>134</v>
      </c>
      <c r="C38" s="3">
        <v>43919.371527777781</v>
      </c>
      <c r="D38" s="4" t="s">
        <v>137</v>
      </c>
      <c r="E38" s="2" t="str">
        <f t="shared" si="0"/>
        <v>vm</v>
      </c>
      <c r="F38" s="4" t="s">
        <v>139</v>
      </c>
      <c r="G38" s="4">
        <v>1</v>
      </c>
    </row>
    <row r="39" spans="1:7" hidden="1" x14ac:dyDescent="0.25">
      <c r="A39" s="2" t="s">
        <v>61</v>
      </c>
      <c r="B39" t="s">
        <v>62</v>
      </c>
      <c r="C39" s="3">
        <v>43919.369444444441</v>
      </c>
      <c r="D39" s="4" t="s">
        <v>137</v>
      </c>
      <c r="E39" s="2" t="str">
        <f t="shared" si="0"/>
        <v>vy</v>
      </c>
      <c r="F39" s="4" t="s">
        <v>139</v>
      </c>
      <c r="G39" s="4">
        <v>1</v>
      </c>
    </row>
    <row r="40" spans="1:7" hidden="1" x14ac:dyDescent="0.25">
      <c r="A40" s="2" t="s">
        <v>63</v>
      </c>
      <c r="B40" t="s">
        <v>64</v>
      </c>
      <c r="C40" s="3">
        <v>43919.369444444441</v>
      </c>
      <c r="D40" s="4" t="s">
        <v>137</v>
      </c>
      <c r="E40" s="2" t="str">
        <f t="shared" si="0"/>
        <v>vy</v>
      </c>
      <c r="F40" s="4" t="s">
        <v>139</v>
      </c>
      <c r="G40" s="4">
        <v>1</v>
      </c>
    </row>
    <row r="41" spans="1:7" x14ac:dyDescent="0.25">
      <c r="A41" s="2" t="s">
        <v>65</v>
      </c>
      <c r="B41" t="s">
        <v>66</v>
      </c>
      <c r="C41" s="3">
        <v>46144.826388888891</v>
      </c>
      <c r="D41" s="4" t="s">
        <v>137</v>
      </c>
      <c r="E41" s="2" t="str">
        <f t="shared" si="0"/>
        <v>vm</v>
      </c>
      <c r="F41" s="4" t="s">
        <v>130</v>
      </c>
      <c r="G41" s="4">
        <v>1</v>
      </c>
    </row>
    <row r="42" spans="1:7" hidden="1" x14ac:dyDescent="0.25">
      <c r="A42" s="2" t="s">
        <v>67</v>
      </c>
      <c r="B42"/>
      <c r="C42" s="3">
        <v>43900.682638888888</v>
      </c>
      <c r="D42" s="4" t="s">
        <v>137</v>
      </c>
      <c r="E42" s="2" t="str">
        <f t="shared" si="0"/>
        <v>vm</v>
      </c>
      <c r="F42" s="4" t="s">
        <v>139</v>
      </c>
      <c r="G42" s="4">
        <v>1</v>
      </c>
    </row>
    <row r="43" spans="1:7" x14ac:dyDescent="0.25">
      <c r="A43" s="2" t="s">
        <v>68</v>
      </c>
      <c r="B43" t="s">
        <v>69</v>
      </c>
      <c r="C43" s="3">
        <v>46145.76458333333</v>
      </c>
      <c r="D43" s="4" t="s">
        <v>137</v>
      </c>
      <c r="E43" s="2" t="str">
        <f t="shared" si="0"/>
        <v>vm</v>
      </c>
      <c r="F43" s="4" t="s">
        <v>130</v>
      </c>
      <c r="G43" s="4">
        <v>1</v>
      </c>
    </row>
    <row r="44" spans="1:7" x14ac:dyDescent="0.25">
      <c r="A44" s="2" t="s">
        <v>70</v>
      </c>
      <c r="B44" t="s">
        <v>71</v>
      </c>
      <c r="C44" s="3">
        <v>45963.65625</v>
      </c>
      <c r="D44" s="4" t="s">
        <v>137</v>
      </c>
      <c r="E44" s="2" t="str">
        <f t="shared" si="0"/>
        <v>vm</v>
      </c>
      <c r="F44" s="4" t="s">
        <v>130</v>
      </c>
      <c r="G44" s="4">
        <v>1</v>
      </c>
    </row>
    <row r="45" spans="1:7" ht="60" hidden="1" x14ac:dyDescent="0.25">
      <c r="A45" s="2" t="s">
        <v>72</v>
      </c>
      <c r="B45" s="1" t="s">
        <v>135</v>
      </c>
      <c r="C45" s="3">
        <v>46187.685416666667</v>
      </c>
      <c r="D45" s="4" t="s">
        <v>137</v>
      </c>
      <c r="E45" s="2" t="str">
        <f t="shared" si="0"/>
        <v>vm</v>
      </c>
      <c r="F45" s="4" t="s">
        <v>139</v>
      </c>
      <c r="G45" s="4">
        <v>1</v>
      </c>
    </row>
    <row r="46" spans="1:7" ht="75" hidden="1" x14ac:dyDescent="0.25">
      <c r="A46" s="2" t="s">
        <v>73</v>
      </c>
      <c r="B46" s="1" t="s">
        <v>136</v>
      </c>
      <c r="C46" s="3">
        <v>43210.526388888888</v>
      </c>
      <c r="D46" s="4" t="s">
        <v>137</v>
      </c>
      <c r="E46" s="2" t="str">
        <f t="shared" si="0"/>
        <v>vm</v>
      </c>
      <c r="F46" s="4" t="s">
        <v>139</v>
      </c>
      <c r="G46" s="4">
        <v>1</v>
      </c>
    </row>
    <row r="47" spans="1:7" ht="90" hidden="1" x14ac:dyDescent="0.25">
      <c r="A47" s="2" t="s">
        <v>74</v>
      </c>
      <c r="B47" s="1" t="s">
        <v>145</v>
      </c>
      <c r="C47" s="3">
        <v>43210.526388888888</v>
      </c>
      <c r="D47" s="4" t="s">
        <v>137</v>
      </c>
      <c r="E47" s="2" t="str">
        <f t="shared" si="0"/>
        <v>vm</v>
      </c>
      <c r="F47" s="4" t="s">
        <v>139</v>
      </c>
      <c r="G47" s="4">
        <v>1</v>
      </c>
    </row>
    <row r="48" spans="1:7" hidden="1" x14ac:dyDescent="0.25">
      <c r="A48" s="2" t="s">
        <v>75</v>
      </c>
      <c r="B48" t="s">
        <v>76</v>
      </c>
      <c r="C48" s="3">
        <v>43210.526388888888</v>
      </c>
      <c r="D48" s="4" t="s">
        <v>137</v>
      </c>
      <c r="E48" s="2" t="str">
        <f t="shared" si="0"/>
        <v>vy</v>
      </c>
      <c r="F48" s="4" t="s">
        <v>139</v>
      </c>
      <c r="G48" s="4">
        <v>1</v>
      </c>
    </row>
    <row r="49" spans="1:7" ht="45" hidden="1" x14ac:dyDescent="0.25">
      <c r="A49" s="2" t="s">
        <v>77</v>
      </c>
      <c r="B49" s="1" t="s">
        <v>146</v>
      </c>
      <c r="C49" s="3">
        <v>43210.526388888888</v>
      </c>
      <c r="D49" s="4" t="s">
        <v>137</v>
      </c>
      <c r="E49" s="2" t="str">
        <f t="shared" si="0"/>
        <v>vm</v>
      </c>
      <c r="F49" s="4" t="s">
        <v>139</v>
      </c>
      <c r="G49" s="4">
        <v>1</v>
      </c>
    </row>
    <row r="50" spans="1:7" hidden="1" x14ac:dyDescent="0.25">
      <c r="A50" s="2" t="s">
        <v>78</v>
      </c>
      <c r="B50" t="s">
        <v>79</v>
      </c>
      <c r="C50" s="3">
        <v>43210.526388888888</v>
      </c>
      <c r="D50" s="4" t="s">
        <v>137</v>
      </c>
      <c r="E50" s="2" t="str">
        <f t="shared" si="0"/>
        <v>vy</v>
      </c>
      <c r="F50" s="4" t="s">
        <v>139</v>
      </c>
      <c r="G50" s="4">
        <v>1</v>
      </c>
    </row>
    <row r="51" spans="1:7" hidden="1" x14ac:dyDescent="0.25">
      <c r="A51" s="2" t="s">
        <v>80</v>
      </c>
      <c r="B51" t="s">
        <v>81</v>
      </c>
      <c r="C51" s="3">
        <v>43210.526388888888</v>
      </c>
      <c r="D51" s="4" t="s">
        <v>137</v>
      </c>
      <c r="E51" s="2" t="str">
        <f t="shared" si="0"/>
        <v>vy</v>
      </c>
      <c r="F51" s="4" t="s">
        <v>139</v>
      </c>
      <c r="G51" s="4">
        <v>1</v>
      </c>
    </row>
    <row r="52" spans="1:7" x14ac:dyDescent="0.25">
      <c r="A52" s="2" t="s">
        <v>82</v>
      </c>
      <c r="B52"/>
      <c r="C52" s="3">
        <v>45963.65625</v>
      </c>
      <c r="D52" s="4" t="s">
        <v>137</v>
      </c>
      <c r="E52" s="2" t="str">
        <f t="shared" si="0"/>
        <v>vm</v>
      </c>
      <c r="F52" s="4" t="s">
        <v>130</v>
      </c>
      <c r="G52" s="4">
        <v>1</v>
      </c>
    </row>
    <row r="53" spans="1:7" ht="30" hidden="1" x14ac:dyDescent="0.25">
      <c r="A53" s="2" t="s">
        <v>83</v>
      </c>
      <c r="B53" s="1" t="s">
        <v>147</v>
      </c>
      <c r="C53" s="3">
        <v>43210.526388888888</v>
      </c>
      <c r="D53" s="4" t="s">
        <v>137</v>
      </c>
      <c r="E53" s="2" t="str">
        <f t="shared" si="0"/>
        <v>vm</v>
      </c>
      <c r="F53" s="4" t="s">
        <v>139</v>
      </c>
      <c r="G53" s="4">
        <v>1</v>
      </c>
    </row>
    <row r="54" spans="1:7" hidden="1" x14ac:dyDescent="0.25">
      <c r="A54" s="2" t="s">
        <v>84</v>
      </c>
      <c r="B54" t="s">
        <v>85</v>
      </c>
      <c r="C54" s="3">
        <v>43210.526388888888</v>
      </c>
      <c r="D54" s="4" t="s">
        <v>137</v>
      </c>
      <c r="E54" s="2" t="str">
        <f t="shared" si="0"/>
        <v>vy</v>
      </c>
      <c r="F54" s="4" t="s">
        <v>139</v>
      </c>
      <c r="G54" s="4">
        <v>1</v>
      </c>
    </row>
    <row r="55" spans="1:7" ht="75" hidden="1" x14ac:dyDescent="0.25">
      <c r="A55" s="2" t="s">
        <v>86</v>
      </c>
      <c r="B55" s="1" t="s">
        <v>148</v>
      </c>
      <c r="C55" s="3">
        <v>43355.621527777781</v>
      </c>
      <c r="D55" s="4" t="s">
        <v>137</v>
      </c>
      <c r="E55" s="2" t="str">
        <f t="shared" si="0"/>
        <v>vm</v>
      </c>
      <c r="F55" s="4" t="s">
        <v>139</v>
      </c>
      <c r="G55" s="4">
        <v>1</v>
      </c>
    </row>
    <row r="56" spans="1:7" ht="60" hidden="1" x14ac:dyDescent="0.25">
      <c r="A56" s="2" t="s">
        <v>87</v>
      </c>
      <c r="B56" s="1" t="s">
        <v>88</v>
      </c>
      <c r="C56" s="3">
        <v>43210.526388888888</v>
      </c>
      <c r="D56" s="4" t="s">
        <v>137</v>
      </c>
      <c r="E56" s="2" t="str">
        <f t="shared" si="0"/>
        <v>vm</v>
      </c>
      <c r="F56" s="4" t="s">
        <v>139</v>
      </c>
      <c r="G56" s="4">
        <v>1</v>
      </c>
    </row>
    <row r="57" spans="1:7" hidden="1" x14ac:dyDescent="0.25">
      <c r="A57" s="2" t="s">
        <v>89</v>
      </c>
      <c r="B57" t="s">
        <v>90</v>
      </c>
      <c r="C57" s="3">
        <v>43210.526388888888</v>
      </c>
      <c r="D57" s="4" t="s">
        <v>137</v>
      </c>
      <c r="E57" s="2" t="str">
        <f t="shared" si="0"/>
        <v>vy</v>
      </c>
      <c r="F57" s="4" t="s">
        <v>139</v>
      </c>
      <c r="G57" s="4">
        <v>1</v>
      </c>
    </row>
    <row r="58" spans="1:7" hidden="1" x14ac:dyDescent="0.25">
      <c r="A58" s="2" t="s">
        <v>91</v>
      </c>
      <c r="C58" s="3">
        <v>44006.382638888892</v>
      </c>
      <c r="D58" s="4" t="s">
        <v>137</v>
      </c>
      <c r="E58" s="2" t="str">
        <f t="shared" si="0"/>
        <v>vm</v>
      </c>
      <c r="F58" s="4" t="s">
        <v>140</v>
      </c>
      <c r="G58" s="4">
        <v>1</v>
      </c>
    </row>
    <row r="59" spans="1:7" hidden="1" x14ac:dyDescent="0.25">
      <c r="A59" s="2" t="s">
        <v>92</v>
      </c>
      <c r="C59" s="3">
        <v>44006.382638888892</v>
      </c>
      <c r="D59" s="4" t="s">
        <v>137</v>
      </c>
      <c r="E59" s="2" t="str">
        <f t="shared" si="0"/>
        <v>vm</v>
      </c>
      <c r="F59" s="4" t="s">
        <v>140</v>
      </c>
      <c r="G59" s="4">
        <v>1</v>
      </c>
    </row>
    <row r="60" spans="1:7" hidden="1" x14ac:dyDescent="0.25">
      <c r="A60" s="2" t="s">
        <v>93</v>
      </c>
      <c r="C60" s="3">
        <v>44066.379166666666</v>
      </c>
      <c r="D60" s="4" t="s">
        <v>137</v>
      </c>
      <c r="E60" s="2" t="str">
        <f t="shared" si="0"/>
        <v>vm</v>
      </c>
      <c r="F60" s="4" t="s">
        <v>140</v>
      </c>
      <c r="G60" s="4">
        <v>1</v>
      </c>
    </row>
    <row r="61" spans="1:7" ht="45" hidden="1" x14ac:dyDescent="0.25">
      <c r="A61" s="2" t="s">
        <v>94</v>
      </c>
      <c r="B61" s="7" t="s">
        <v>95</v>
      </c>
      <c r="C61" s="3">
        <v>44006.384722222225</v>
      </c>
      <c r="D61" s="4" t="s">
        <v>137</v>
      </c>
      <c r="E61" s="2" t="str">
        <f t="shared" si="0"/>
        <v>vm</v>
      </c>
      <c r="F61" s="4" t="s">
        <v>140</v>
      </c>
      <c r="G61" s="4">
        <v>1</v>
      </c>
    </row>
    <row r="62" spans="1:7" hidden="1" x14ac:dyDescent="0.25">
      <c r="A62" s="2" t="s">
        <v>96</v>
      </c>
      <c r="B62" s="6" t="s">
        <v>97</v>
      </c>
      <c r="C62" s="3">
        <v>44006.384722222225</v>
      </c>
      <c r="D62" s="4" t="s">
        <v>137</v>
      </c>
      <c r="E62" s="2" t="str">
        <f t="shared" si="0"/>
        <v>vy</v>
      </c>
      <c r="F62" s="4" t="s">
        <v>140</v>
      </c>
      <c r="G62" s="4">
        <v>1</v>
      </c>
    </row>
    <row r="63" spans="1:7" hidden="1" x14ac:dyDescent="0.25">
      <c r="A63" s="2" t="s">
        <v>98</v>
      </c>
      <c r="B63" s="6" t="s">
        <v>99</v>
      </c>
      <c r="C63" s="3">
        <v>44006.385416666664</v>
      </c>
      <c r="D63" s="4" t="s">
        <v>137</v>
      </c>
      <c r="E63" s="2" t="str">
        <f t="shared" si="0"/>
        <v>vy</v>
      </c>
      <c r="F63" s="4" t="s">
        <v>140</v>
      </c>
      <c r="G63" s="4">
        <v>1</v>
      </c>
    </row>
    <row r="64" spans="1:7" hidden="1" x14ac:dyDescent="0.25">
      <c r="A64" s="2" t="s">
        <v>100</v>
      </c>
      <c r="B64" s="6" t="s">
        <v>101</v>
      </c>
      <c r="C64" s="3">
        <v>44006.385416666664</v>
      </c>
      <c r="D64" s="4" t="s">
        <v>137</v>
      </c>
      <c r="E64" s="2" t="str">
        <f t="shared" si="0"/>
        <v>vm</v>
      </c>
      <c r="F64" s="4" t="s">
        <v>140</v>
      </c>
      <c r="G64" s="4">
        <v>1</v>
      </c>
    </row>
    <row r="65" spans="1:7" hidden="1" x14ac:dyDescent="0.25">
      <c r="A65" s="2" t="s">
        <v>102</v>
      </c>
      <c r="B65" s="6" t="s">
        <v>103</v>
      </c>
      <c r="C65" s="3">
        <v>44092.530555555553</v>
      </c>
      <c r="D65" s="4" t="s">
        <v>137</v>
      </c>
      <c r="E65" s="2" t="str">
        <f t="shared" si="0"/>
        <v>vm</v>
      </c>
      <c r="F65" s="4" t="s">
        <v>140</v>
      </c>
      <c r="G65" s="4">
        <v>1</v>
      </c>
    </row>
    <row r="66" spans="1:7" ht="45" hidden="1" x14ac:dyDescent="0.25">
      <c r="A66" s="2" t="s">
        <v>104</v>
      </c>
      <c r="B66" s="7" t="s">
        <v>142</v>
      </c>
      <c r="C66" s="3">
        <v>44092.530555555553</v>
      </c>
      <c r="D66" s="4" t="s">
        <v>137</v>
      </c>
      <c r="E66" s="2" t="str">
        <f t="shared" ref="E66:E82" si="1">RIGHT(A66,2)</f>
        <v>vm</v>
      </c>
      <c r="F66" s="4" t="s">
        <v>140</v>
      </c>
      <c r="G66" s="4">
        <v>1</v>
      </c>
    </row>
    <row r="67" spans="1:7" ht="30" hidden="1" x14ac:dyDescent="0.25">
      <c r="A67" s="2" t="s">
        <v>105</v>
      </c>
      <c r="B67" s="7" t="s">
        <v>143</v>
      </c>
      <c r="C67" s="3">
        <v>44092.53125</v>
      </c>
      <c r="D67" s="4" t="s">
        <v>137</v>
      </c>
      <c r="E67" s="2" t="str">
        <f t="shared" si="1"/>
        <v>vm</v>
      </c>
      <c r="F67" s="4" t="s">
        <v>140</v>
      </c>
      <c r="G67" s="4">
        <v>1</v>
      </c>
    </row>
    <row r="68" spans="1:7" hidden="1" x14ac:dyDescent="0.25">
      <c r="A68" s="2" t="s">
        <v>106</v>
      </c>
      <c r="B68" s="6" t="s">
        <v>107</v>
      </c>
      <c r="C68" s="3">
        <v>44092.53125</v>
      </c>
      <c r="D68" s="4" t="s">
        <v>137</v>
      </c>
      <c r="E68" s="2" t="str">
        <f t="shared" si="1"/>
        <v>vy</v>
      </c>
      <c r="F68" s="4" t="s">
        <v>140</v>
      </c>
      <c r="G68" s="4">
        <v>1</v>
      </c>
    </row>
    <row r="69" spans="1:7" ht="33" hidden="1" customHeight="1" x14ac:dyDescent="0.25">
      <c r="A69" s="2" t="s">
        <v>108</v>
      </c>
      <c r="B69" s="7" t="s">
        <v>141</v>
      </c>
      <c r="C69" s="3">
        <v>44092.529861111114</v>
      </c>
      <c r="D69" s="4" t="s">
        <v>137</v>
      </c>
      <c r="E69" s="2" t="str">
        <f t="shared" si="1"/>
        <v>vm</v>
      </c>
      <c r="F69" s="4" t="s">
        <v>140</v>
      </c>
      <c r="G69" s="4">
        <v>1</v>
      </c>
    </row>
    <row r="70" spans="1:7" hidden="1" x14ac:dyDescent="0.25">
      <c r="A70" s="2" t="s">
        <v>109</v>
      </c>
      <c r="B70" s="6" t="s">
        <v>110</v>
      </c>
      <c r="C70" s="3">
        <v>44092.529861111114</v>
      </c>
      <c r="D70" s="4" t="s">
        <v>137</v>
      </c>
      <c r="E70" s="2" t="str">
        <f t="shared" si="1"/>
        <v>vy</v>
      </c>
      <c r="F70" s="4" t="s">
        <v>140</v>
      </c>
      <c r="G70" s="4">
        <v>1</v>
      </c>
    </row>
    <row r="71" spans="1:7" hidden="1" x14ac:dyDescent="0.25">
      <c r="A71" s="2" t="s">
        <v>111</v>
      </c>
      <c r="B71" s="6" t="s">
        <v>112</v>
      </c>
      <c r="C71" s="3">
        <v>44092.529861111114</v>
      </c>
      <c r="D71" s="4" t="s">
        <v>137</v>
      </c>
      <c r="E71" s="2" t="str">
        <f t="shared" si="1"/>
        <v>vm</v>
      </c>
      <c r="F71" s="4" t="s">
        <v>140</v>
      </c>
      <c r="G71" s="4">
        <v>1</v>
      </c>
    </row>
    <row r="72" spans="1:7" hidden="1" x14ac:dyDescent="0.25">
      <c r="A72" s="2" t="s">
        <v>113</v>
      </c>
      <c r="B72" s="6" t="s">
        <v>114</v>
      </c>
      <c r="C72" s="3">
        <v>44092.530555555553</v>
      </c>
      <c r="D72" s="4" t="s">
        <v>137</v>
      </c>
      <c r="E72" s="2" t="str">
        <f t="shared" si="1"/>
        <v>vy</v>
      </c>
      <c r="F72" s="4" t="s">
        <v>140</v>
      </c>
      <c r="G72" s="4">
        <v>1</v>
      </c>
    </row>
    <row r="73" spans="1:7" hidden="1" x14ac:dyDescent="0.25">
      <c r="A73" s="2" t="s">
        <v>115</v>
      </c>
      <c r="C73" s="3">
        <v>44066.379861111112</v>
      </c>
      <c r="D73" s="4" t="s">
        <v>137</v>
      </c>
      <c r="E73" s="2" t="str">
        <f t="shared" si="1"/>
        <v>vm</v>
      </c>
      <c r="F73" s="4" t="s">
        <v>140</v>
      </c>
      <c r="G73" s="4">
        <v>1</v>
      </c>
    </row>
    <row r="74" spans="1:7" hidden="1" x14ac:dyDescent="0.25">
      <c r="A74" s="2" t="s">
        <v>116</v>
      </c>
      <c r="C74" s="3">
        <v>44066.379861111112</v>
      </c>
      <c r="D74" s="4" t="s">
        <v>137</v>
      </c>
      <c r="E74" s="2" t="str">
        <f t="shared" si="1"/>
        <v>vm</v>
      </c>
      <c r="F74" s="4" t="s">
        <v>140</v>
      </c>
      <c r="G74" s="4">
        <v>1</v>
      </c>
    </row>
    <row r="75" spans="1:7" ht="45" hidden="1" x14ac:dyDescent="0.25">
      <c r="A75" s="2" t="s">
        <v>117</v>
      </c>
      <c r="B75" s="7" t="s">
        <v>144</v>
      </c>
      <c r="C75" s="3">
        <v>44092.531944444447</v>
      </c>
      <c r="D75" s="4" t="s">
        <v>137</v>
      </c>
      <c r="E75" s="2" t="str">
        <f t="shared" si="1"/>
        <v>vm</v>
      </c>
      <c r="F75" s="4" t="s">
        <v>140</v>
      </c>
      <c r="G75" s="4">
        <v>1</v>
      </c>
    </row>
    <row r="76" spans="1:7" hidden="1" x14ac:dyDescent="0.25">
      <c r="A76" s="2" t="s">
        <v>118</v>
      </c>
      <c r="B76" s="6" t="s">
        <v>119</v>
      </c>
      <c r="C76" s="3">
        <v>44092.531944444447</v>
      </c>
      <c r="D76" s="4" t="s">
        <v>137</v>
      </c>
      <c r="E76" s="2" t="str">
        <f t="shared" si="1"/>
        <v>vy</v>
      </c>
      <c r="F76" s="4" t="s">
        <v>140</v>
      </c>
      <c r="G76" s="4">
        <v>1</v>
      </c>
    </row>
    <row r="77" spans="1:7" hidden="1" x14ac:dyDescent="0.25">
      <c r="A77" s="2" t="s">
        <v>120</v>
      </c>
      <c r="B77" s="6" t="s">
        <v>121</v>
      </c>
      <c r="C77" s="3">
        <v>44066.380555555559</v>
      </c>
      <c r="D77" s="4" t="s">
        <v>137</v>
      </c>
      <c r="E77" s="2" t="str">
        <f t="shared" si="1"/>
        <v>vm</v>
      </c>
      <c r="F77" s="4" t="s">
        <v>140</v>
      </c>
      <c r="G77" s="4">
        <v>1</v>
      </c>
    </row>
    <row r="78" spans="1:7" hidden="1" x14ac:dyDescent="0.25">
      <c r="A78" s="2" t="s">
        <v>122</v>
      </c>
      <c r="C78" s="3">
        <v>44092.524305555555</v>
      </c>
      <c r="D78" s="4" t="s">
        <v>137</v>
      </c>
      <c r="E78" s="2" t="str">
        <f t="shared" si="1"/>
        <v>vm</v>
      </c>
      <c r="F78" s="4" t="s">
        <v>140</v>
      </c>
      <c r="G78" s="4">
        <v>1</v>
      </c>
    </row>
    <row r="79" spans="1:7" hidden="1" x14ac:dyDescent="0.25">
      <c r="A79" s="2" t="s">
        <v>123</v>
      </c>
      <c r="C79" s="3">
        <v>44066.379861111112</v>
      </c>
      <c r="D79" s="4" t="s">
        <v>137</v>
      </c>
      <c r="E79" s="2" t="str">
        <f t="shared" si="1"/>
        <v>vm</v>
      </c>
      <c r="F79" s="4" t="s">
        <v>140</v>
      </c>
      <c r="G79" s="4">
        <v>1</v>
      </c>
    </row>
    <row r="80" spans="1:7" hidden="1" x14ac:dyDescent="0.25">
      <c r="A80" s="2" t="s">
        <v>124</v>
      </c>
      <c r="B80" s="6" t="s">
        <v>125</v>
      </c>
      <c r="C80" s="3">
        <v>44092.522916666669</v>
      </c>
      <c r="D80" s="4" t="s">
        <v>137</v>
      </c>
      <c r="E80" s="2" t="str">
        <f t="shared" si="1"/>
        <v>vm</v>
      </c>
      <c r="F80" s="4" t="s">
        <v>140</v>
      </c>
      <c r="G80" s="4">
        <v>1</v>
      </c>
    </row>
    <row r="81" spans="1:7" hidden="1" x14ac:dyDescent="0.25">
      <c r="A81" s="2" t="s">
        <v>126</v>
      </c>
      <c r="C81" s="3">
        <v>44092.523611111108</v>
      </c>
      <c r="D81" s="4" t="s">
        <v>137</v>
      </c>
      <c r="E81" s="2" t="str">
        <f t="shared" si="1"/>
        <v>vm</v>
      </c>
      <c r="F81" s="4" t="s">
        <v>140</v>
      </c>
      <c r="G81" s="4">
        <v>1</v>
      </c>
    </row>
    <row r="82" spans="1:7" hidden="1" x14ac:dyDescent="0.25">
      <c r="A82" s="2" t="s">
        <v>127</v>
      </c>
      <c r="B82" s="6" t="s">
        <v>128</v>
      </c>
      <c r="C82" s="3">
        <v>43210.526388888888</v>
      </c>
      <c r="D82" s="4" t="s">
        <v>137</v>
      </c>
      <c r="E82" s="2" t="str">
        <f t="shared" si="1"/>
        <v>vy</v>
      </c>
      <c r="F82" s="4" t="s">
        <v>140</v>
      </c>
      <c r="G82" s="4">
        <v>1</v>
      </c>
    </row>
    <row r="84" spans="1:7" x14ac:dyDescent="0.25">
      <c r="G84" s="4">
        <f>SUBTOTAL(9,G2:G83)</f>
        <v>9</v>
      </c>
    </row>
    <row r="86" spans="1:7" x14ac:dyDescent="0.25">
      <c r="C86" s="6" t="s">
        <v>152</v>
      </c>
      <c r="D86" s="4">
        <v>81</v>
      </c>
      <c r="G86" s="4">
        <v>34</v>
      </c>
    </row>
    <row r="87" spans="1:7" x14ac:dyDescent="0.25">
      <c r="C87" s="6" t="s">
        <v>151</v>
      </c>
      <c r="D87" s="4">
        <v>24</v>
      </c>
    </row>
    <row r="88" spans="1:7" x14ac:dyDescent="0.25">
      <c r="C88" s="2" t="s">
        <v>153</v>
      </c>
      <c r="D88" s="4">
        <v>25</v>
      </c>
    </row>
  </sheetData>
  <autoFilter ref="A1:H82" xr:uid="{6AE6BC9A-7251-4F62-9A7B-9707E3E63848}">
    <filterColumn colId="5">
      <filters>
        <filter val="Ja"/>
      </filters>
    </filterColumn>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pdf_templates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Reinhold Gritsch</dc:creator>
  <cp:lastModifiedBy>Reinhold Gritsch</cp:lastModifiedBy>
  <dcterms:created xsi:type="dcterms:W3CDTF">2026-07-18T16:42:31Z</dcterms:created>
  <dcterms:modified xsi:type="dcterms:W3CDTF">2026-07-20T17:35:04Z</dcterms:modified>
</cp:coreProperties>
</file>